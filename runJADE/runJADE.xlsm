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ny_\Downloads\"/>
    </mc:Choice>
  </mc:AlternateContent>
  <xr:revisionPtr revIDLastSave="0" documentId="13_ncr:1_{99B52B8D-31DB-4BDE-8381-745B9918D34F}" xr6:coauthVersionLast="47" xr6:coauthVersionMax="47" xr10:uidLastSave="{00000000-0000-0000-0000-000000000000}"/>
  <bookViews>
    <workbookView showHorizontalScroll="0" showVerticalScroll="0" xWindow="7080" yWindow="3430" windowWidth="25810" windowHeight="16180" xr2:uid="{00000000-000D-0000-FFFF-FFFF00000000}"/>
  </bookViews>
  <sheets>
    <sheet name="JADE Settings" sheetId="1" r:id="rId1"/>
    <sheet name="Runfile" sheetId="3" r:id="rId2"/>
    <sheet name="Lists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3" l="1"/>
  <c r="B18" i="3"/>
  <c r="B6" i="2"/>
  <c r="B5" i="2"/>
  <c r="A21" i="2"/>
  <c r="A22" i="2" s="1"/>
  <c r="A23" i="2"/>
  <c r="A3" i="3"/>
  <c r="B3" i="3"/>
  <c r="B9" i="3"/>
  <c r="A36" i="3"/>
  <c r="B36" i="3"/>
  <c r="A41" i="3"/>
  <c r="B41" i="3"/>
  <c r="A42" i="3"/>
  <c r="B42" i="3"/>
  <c r="B23" i="2" l="1"/>
  <c r="B25" i="2" s="1"/>
  <c r="A24" i="2"/>
  <c r="A25" i="2" s="1"/>
  <c r="B28" i="3"/>
  <c r="A34" i="3"/>
  <c r="B34" i="3"/>
  <c r="B33" i="3"/>
  <c r="B39" i="3"/>
  <c r="B38" i="3"/>
  <c r="B22" i="3"/>
  <c r="B31" i="3"/>
  <c r="B30" i="3"/>
  <c r="B27" i="3"/>
  <c r="B25" i="3"/>
  <c r="B20" i="3"/>
  <c r="B16" i="3"/>
  <c r="B14" i="3"/>
  <c r="B13" i="3"/>
  <c r="B11" i="3"/>
  <c r="B7" i="3"/>
  <c r="B6" i="3"/>
  <c r="B5" i="3"/>
  <c r="B1" i="3"/>
  <c r="A29" i="2" l="1"/>
  <c r="A30" i="2" s="1"/>
  <c r="A31" i="2" s="1"/>
  <c r="I1" i="1" s="1"/>
  <c r="A26" i="2"/>
  <c r="A27" i="2" s="1"/>
  <c r="A2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Anthony Downward</author>
    <author>Tony Downward</author>
  </authors>
  <commentList>
    <comment ref="D6" authorId="0" shapeId="0" xr:uid="{00000000-0006-0000-0000-000001000000}">
      <text>
        <r>
          <rPr>
            <sz val="9"/>
            <color indexed="81"/>
            <rFont val="Tahoma"/>
            <family val="2"/>
          </rPr>
          <t>Name of the directory where the cuts and other output will be stored.</t>
        </r>
      </text>
    </comment>
    <comment ref="I6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Number of iterations of the SDDP algorithm during training.
</t>
        </r>
      </text>
    </comment>
    <comment ref="D8" authorId="0" shapeId="0" xr:uid="{00000000-0006-0000-0000-000003000000}">
      <text>
        <r>
          <rPr>
            <sz val="9"/>
            <color indexed="81"/>
            <rFont val="Tahoma"/>
            <family val="2"/>
          </rPr>
          <t>(Optional) 
Subfolder within the input, which contains data files that have been modified.</t>
        </r>
      </text>
    </comment>
    <comment ref="I8" authorId="0" shapeId="0" xr:uid="{00000000-0006-0000-0000-000004000000}">
      <text>
        <r>
          <rPr>
            <sz val="9"/>
            <color indexed="81"/>
            <rFont val="Tahoma"/>
            <family val="2"/>
          </rPr>
          <t>(Optional)
If warm-starting JADE, this is the path to the cuts file to be loaded.
Output/&lt;path&gt;/cuts.json</t>
        </r>
      </text>
    </comment>
    <comment ref="D10" authorId="0" shapeId="0" xr:uid="{00000000-0006-0000-0000-000005000000}">
      <text>
        <r>
          <rPr>
            <sz val="9"/>
            <color indexed="81"/>
            <rFont val="Tahoma"/>
            <family val="2"/>
          </rPr>
          <t xml:space="preserve">The start year, start week and number of weeks define the set of weeks from which JADE will source the demand, generation fleet, outages, etc.
</t>
        </r>
      </text>
    </comment>
    <comment ref="I10" authorId="0" shapeId="0" xr:uid="{00000000-0006-0000-0000-000006000000}">
      <text>
        <r>
          <rPr>
            <sz val="9"/>
            <color indexed="81"/>
            <rFont val="Tahoma"/>
            <family val="2"/>
          </rPr>
          <t xml:space="preserve">If training a steady-state model, you can optionally write the cuts produced as an EOH (end-of-horizon) file.
</t>
        </r>
      </text>
    </comment>
    <comment ref="I11" authorId="0" shapeId="0" xr:uid="{00000000-0006-0000-0000-000007000000}">
      <text>
        <r>
          <rPr>
            <sz val="9"/>
            <color indexed="81"/>
            <rFont val="Tahoma"/>
            <family val="2"/>
          </rPr>
          <t>If training a finite horizon model, you must specify an EOH file.</t>
        </r>
      </text>
    </comment>
    <comment ref="I13" authorId="0" shapeId="0" xr:uid="{00000000-0006-0000-0000-000008000000}">
      <text>
        <r>
          <rPr>
            <sz val="9"/>
            <color indexed="81"/>
            <rFont val="Tahoma"/>
            <family val="2"/>
          </rPr>
          <t>lambda = 0 means that policies are trained assuming risk neutrality. As lambda is increased more weight is applied to the worst-beta% of outcomes for each stage.</t>
        </r>
      </text>
    </comment>
    <comment ref="D15" authorId="0" shapeId="0" xr:uid="{00000000-0006-0000-0000-000009000000}">
      <text>
        <r>
          <rPr>
            <sz val="9"/>
            <color indexed="81"/>
            <rFont val="Tahoma"/>
            <family val="2"/>
          </rPr>
          <t xml:space="preserve">If running a finite-horizon model, set to 0.
Otherwise set to the annual discount factor. The discount rate is shown in brackets.
</t>
        </r>
      </text>
    </comment>
    <comment ref="I15" authorId="1" shapeId="0" xr:uid="{2EA369BC-AB4A-463D-96B2-111DED81E38B}">
      <text>
        <r>
          <rPr>
            <sz val="9"/>
            <color indexed="81"/>
            <rFont val="Tahoma"/>
            <family val="2"/>
          </rPr>
          <t>For risk averse policies the worst-beta% of outcomes for each stage are given a higher probability.</t>
        </r>
      </text>
    </comment>
    <comment ref="D17" authorId="0" shapeId="0" xr:uid="{00000000-0006-0000-0000-00000A000000}">
      <text>
        <r>
          <rPr>
            <sz val="9"/>
            <color indexed="81"/>
            <rFont val="Tahoma"/>
            <family val="2"/>
          </rPr>
          <t>The sample start and end years give the range of years (inclusive) from which inflow data will be ultilised for the training.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1" shapeId="0" xr:uid="{59D28F52-1298-4FB1-95FD-CBE738E2DC12}">
      <text>
        <r>
          <rPr>
            <sz val="9"/>
            <color indexed="81"/>
            <rFont val="Tahoma"/>
            <family val="2"/>
          </rPr>
          <t>This sets the minimum number of cuts cached before the cut selection method in SDDP.jl is called.</t>
        </r>
      </text>
    </comment>
    <comment ref="D21" authorId="0" shapeId="0" xr:uid="{00000000-0006-0000-0000-00000B000000}">
      <text>
        <r>
          <rPr>
            <sz val="9"/>
            <color indexed="81"/>
            <rFont val="Tahoma"/>
            <family val="2"/>
          </rPr>
          <t xml:space="preserve">This sets the DIA value within the model. See the JADE documentation for details.
</t>
        </r>
      </text>
    </comment>
    <comment ref="D23" authorId="0" shapeId="0" xr:uid="{00000000-0006-0000-0000-00000C000000}">
      <text>
        <r>
          <rPr>
            <sz val="9"/>
            <color indexed="81"/>
            <rFont val="Tahoma"/>
            <family val="2"/>
          </rPr>
          <t>The LB flow penalty is the cost applied when flows are below stated minimum rates.</t>
        </r>
      </text>
    </comment>
    <comment ref="I24" authorId="0" shapeId="0" xr:uid="{00000000-0006-0000-0000-00000D000000}">
      <text>
        <r>
          <rPr>
            <sz val="9"/>
            <color indexed="81"/>
            <rFont val="Tahoma"/>
            <family val="2"/>
          </rPr>
          <t>Name of the simulation. This is the name of the folder storing the simulation output.</t>
        </r>
      </text>
    </comment>
    <comment ref="D25" authorId="0" shapeId="0" xr:uid="{00000000-0006-0000-0000-00000E000000}">
      <text>
        <r>
          <rPr>
            <sz val="9"/>
            <color indexed="81"/>
            <rFont val="Tahoma"/>
            <family val="2"/>
          </rPr>
          <t xml:space="preserve">The UB flow penalty is the cost applied when flows are above stated maximum rates.
</t>
        </r>
      </text>
    </comment>
    <comment ref="I27" authorId="0" shapeId="0" xr:uid="{00000000-0006-0000-0000-00000F000000}">
      <text>
        <r>
          <rPr>
            <sz val="9"/>
            <color indexed="81"/>
            <rFont val="Tahoma"/>
            <family val="2"/>
          </rPr>
          <t xml:space="preserve">Type of simulation. Monte Carlo simulation is performed in-sample.
</t>
        </r>
      </text>
    </comment>
    <comment ref="D28" authorId="0" shapeId="0" xr:uid="{00000000-0006-0000-0000-000010000000}">
      <text>
        <r>
          <rPr>
            <sz val="9"/>
            <color indexed="81"/>
            <rFont val="Tahoma"/>
            <family val="2"/>
          </rPr>
          <t xml:space="preserve">This factor scales the objective within SDDP.jl, and can improve numerical stability.
</t>
        </r>
      </text>
    </comment>
    <comment ref="D30" authorId="0" shapeId="0" xr:uid="{00000000-0006-0000-0000-000011000000}">
      <text>
        <r>
          <rPr>
            <sz val="9"/>
            <color indexed="81"/>
            <rFont val="Tahoma"/>
            <family val="2"/>
          </rPr>
          <t xml:space="preserve">This factor scales the reservoir state values within SDDP.jl and can improve numerical stability.
</t>
        </r>
      </text>
    </comment>
    <comment ref="I30" authorId="0" shapeId="0" xr:uid="{00000000-0006-0000-0000-000012000000}">
      <text>
        <r>
          <rPr>
            <sz val="9"/>
            <color indexed="81"/>
            <rFont val="Tahoma"/>
            <family val="2"/>
          </rPr>
          <t xml:space="preserve">If set to TRUE, JADE will reset storage levels to initial values at stage 1 of the replciation. Otherwise, the final storage of one replication is the starting storage for the next.
</t>
        </r>
      </text>
    </comment>
    <comment ref="I32" authorId="0" shapeId="0" xr:uid="{00000000-0006-0000-0000-000013000000}">
      <text>
        <r>
          <rPr>
            <sz val="9"/>
            <color indexed="81"/>
            <rFont val="Tahoma"/>
            <family val="2"/>
          </rPr>
          <t>Number of replications.</t>
        </r>
      </text>
    </comment>
    <comment ref="D34" authorId="1" shapeId="0" xr:uid="{4559C405-FE77-4725-AD17-9E94BBE5B913}">
      <text>
        <r>
          <rPr>
            <sz val="9"/>
            <color indexed="81"/>
            <rFont val="Tahoma"/>
            <family val="2"/>
          </rPr>
          <t xml:space="preserve">You need to first locate the demand.csv file from the input directory that this run file corresponds to.
</t>
        </r>
      </text>
    </comment>
    <comment ref="I34" authorId="0" shapeId="0" xr:uid="{00000000-0006-0000-0000-000014000000}">
      <text>
        <r>
          <rPr>
            <sz val="9"/>
            <color indexed="81"/>
            <rFont val="Tahoma"/>
            <family val="2"/>
          </rPr>
          <t>The simulation start and end years give the range of years (inclusive) from which inflow data will be sourced for historical simulations.</t>
        </r>
      </text>
    </comment>
    <comment ref="D35" authorId="1" shapeId="0" xr:uid="{94B12C34-59B8-4F3E-B0CC-13FC2CFE1519}">
      <text>
        <r>
          <rPr>
            <sz val="9"/>
            <color indexed="81"/>
            <rFont val="Tahoma"/>
            <family val="2"/>
          </rPr>
          <t xml:space="preserve">After all the settings are entered, click here to save the run file.
</t>
        </r>
      </text>
    </comment>
    <comment ref="I37" authorId="0" shapeId="0" xr:uid="{00000000-0006-0000-0000-000015000000}">
      <text>
        <r>
          <rPr>
            <sz val="9"/>
            <color indexed="81"/>
            <rFont val="Tahoma"/>
            <family val="2"/>
          </rPr>
          <t>(Optional)
Random seed to use in Monte Carlo and randomised Historical simulations.</t>
        </r>
      </text>
    </comment>
  </commentList>
</comments>
</file>

<file path=xl/sharedStrings.xml><?xml version="1.0" encoding="utf-8"?>
<sst xmlns="http://schemas.openxmlformats.org/spreadsheetml/2006/main" count="70" uniqueCount="49">
  <si>
    <t>Model Settings</t>
  </si>
  <si>
    <t>Simulation Settings</t>
  </si>
  <si>
    <t>Policy name</t>
  </si>
  <si>
    <t>Problem start year</t>
  </si>
  <si>
    <t>Problem start week</t>
  </si>
  <si>
    <t>Number of weeks</t>
  </si>
  <si>
    <t>Sample start year</t>
  </si>
  <si>
    <t>Sample end year</t>
  </si>
  <si>
    <t>Inflow correlation length</t>
  </si>
  <si>
    <t>Steady state</t>
  </si>
  <si>
    <t>Write EOH cuts file</t>
  </si>
  <si>
    <t>Load EOH cuts file</t>
  </si>
  <si>
    <t>Training Options</t>
  </si>
  <si>
    <t>Scenario directory</t>
  </si>
  <si>
    <t>DIA</t>
  </si>
  <si>
    <t>Iterations</t>
  </si>
  <si>
    <t>Load saved cuts from</t>
  </si>
  <si>
    <t>Simulation name</t>
  </si>
  <si>
    <t>Simulation type</t>
  </si>
  <si>
    <t>Monte Carlo</t>
  </si>
  <si>
    <t>TF</t>
  </si>
  <si>
    <t>Simulation start year</t>
  </si>
  <si>
    <t>Simulation end year</t>
  </si>
  <si>
    <t>Random seed</t>
  </si>
  <si>
    <t>LB flow penalty</t>
  </si>
  <si>
    <t>UB flow penalty</t>
  </si>
  <si>
    <t>Reset initial storage levels</t>
  </si>
  <si>
    <t>Replications</t>
  </si>
  <si>
    <t>Historical (Sequential)</t>
  </si>
  <si>
    <t>Historical (Random order)</t>
  </si>
  <si>
    <t>N/A</t>
  </si>
  <si>
    <t>Use saved cuts from</t>
  </si>
  <si>
    <t>Maximum iterations</t>
  </si>
  <si>
    <t>Reset initial simulation state</t>
  </si>
  <si>
    <t>Scale objective</t>
  </si>
  <si>
    <t>Scale reservoirs</t>
  </si>
  <si>
    <t>Cut selection</t>
  </si>
  <si>
    <t>policy1</t>
  </si>
  <si>
    <t>sim1</t>
  </si>
  <si>
    <t>weeks</t>
  </si>
  <si>
    <t>demandyears</t>
  </si>
  <si>
    <t>inflowyears</t>
  </si>
  <si>
    <t>Steady state discount factor</t>
  </si>
  <si>
    <t>© Electric Power Optimization Centre</t>
  </si>
  <si>
    <t xml:space="preserve">  First:</t>
  </si>
  <si>
    <t xml:space="preserve">  Last:</t>
  </si>
  <si>
    <t>0.92 (8.7%)</t>
  </si>
  <si>
    <t>Risk lambda</t>
  </si>
  <si>
    <t>Risk 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</si>
</sst>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9"/>
      <color indexed="81"/>
      <name val="Tahoma"/>
      <family val="2"/>
    </font>
    <font>
      <sz val="8"/>
      <color theme="1"/>
      <name val="Calibri"/>
      <family val="2"/>
      <scheme val="minor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0" xfId="0" applyFill="1" applyBorder="1"/>
    <xf numFmtId="0" fontId="0" fillId="0" borderId="0" xfId="0" applyFill="1"/>
    <xf numFmtId="0" fontId="0" fillId="0" borderId="0" xfId="0" applyFill="1" applyBorder="1" applyAlignment="1">
      <alignment horizontal="right"/>
    </xf>
    <xf numFmtId="0" fontId="0" fillId="13" borderId="0" xfId="0" applyFill="1" applyBorder="1" applyAlignment="1" applyProtection="1">
      <alignment horizontal="right" vertical="center"/>
      <protection locked="0"/>
    </xf>
    <xf numFmtId="0" fontId="0" fillId="2" borderId="0" xfId="0" applyFill="1" applyBorder="1" applyAlignment="1">
      <alignment vertical="center"/>
    </xf>
    <xf numFmtId="0" fontId="0" fillId="4" borderId="0" xfId="0" applyFill="1" applyBorder="1" applyAlignment="1" applyProtection="1">
      <alignment horizontal="right" vertical="center"/>
      <protection locked="0"/>
    </xf>
    <xf numFmtId="0" fontId="0" fillId="3" borderId="0" xfId="0" applyFill="1" applyBorder="1" applyAlignment="1">
      <alignment vertical="center"/>
    </xf>
    <xf numFmtId="0" fontId="0" fillId="4" borderId="0" xfId="0" applyFill="1" applyBorder="1" applyAlignment="1" applyProtection="1">
      <alignment vertical="center"/>
      <protection locked="0"/>
    </xf>
    <xf numFmtId="0" fontId="0" fillId="2" borderId="1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7" borderId="1" xfId="0" applyFill="1" applyBorder="1" applyAlignment="1">
      <alignment vertical="center"/>
    </xf>
    <xf numFmtId="0" fontId="0" fillId="7" borderId="2" xfId="0" applyFill="1" applyBorder="1" applyAlignment="1">
      <alignment vertical="center"/>
    </xf>
    <xf numFmtId="0" fontId="0" fillId="7" borderId="3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7" borderId="4" xfId="0" applyFill="1" applyBorder="1" applyAlignment="1">
      <alignment vertical="center"/>
    </xf>
    <xf numFmtId="0" fontId="0" fillId="7" borderId="5" xfId="0" applyFill="1" applyBorder="1" applyAlignment="1">
      <alignment vertical="center"/>
    </xf>
    <xf numFmtId="0" fontId="0" fillId="7" borderId="0" xfId="0" applyFill="1" applyBorder="1" applyAlignment="1">
      <alignment vertical="center"/>
    </xf>
    <xf numFmtId="0" fontId="0" fillId="8" borderId="0" xfId="0" applyFill="1" applyBorder="1" applyAlignment="1">
      <alignment vertical="center"/>
    </xf>
    <xf numFmtId="0" fontId="0" fillId="10" borderId="0" xfId="0" applyFill="1" applyBorder="1" applyAlignment="1" applyProtection="1">
      <alignment vertical="center"/>
      <protection locked="0"/>
    </xf>
    <xf numFmtId="0" fontId="0" fillId="12" borderId="0" xfId="0" applyFill="1" applyBorder="1" applyAlignment="1" applyProtection="1">
      <alignment horizontal="right" vertical="center"/>
    </xf>
    <xf numFmtId="0" fontId="0" fillId="7" borderId="6" xfId="0" applyFill="1" applyBorder="1" applyAlignment="1">
      <alignment vertical="center"/>
    </xf>
    <xf numFmtId="0" fontId="0" fillId="7" borderId="7" xfId="0" applyFill="1" applyBorder="1" applyAlignment="1">
      <alignment vertical="center"/>
    </xf>
    <xf numFmtId="0" fontId="0" fillId="7" borderId="8" xfId="0" applyFill="1" applyBorder="1" applyAlignment="1">
      <alignment vertical="center"/>
    </xf>
    <xf numFmtId="0" fontId="0" fillId="0" borderId="2" xfId="0" applyFill="1" applyBorder="1" applyAlignment="1">
      <alignment horizontal="center" vertical="center"/>
    </xf>
    <xf numFmtId="0" fontId="0" fillId="6" borderId="1" xfId="0" applyFill="1" applyBorder="1" applyAlignment="1">
      <alignment vertical="center"/>
    </xf>
    <xf numFmtId="0" fontId="0" fillId="6" borderId="2" xfId="0" applyFill="1" applyBorder="1" applyAlignment="1">
      <alignment vertical="center"/>
    </xf>
    <xf numFmtId="0" fontId="0" fillId="6" borderId="3" xfId="0" applyFill="1" applyBorder="1" applyAlignment="1">
      <alignment vertical="center"/>
    </xf>
    <xf numFmtId="0" fontId="0" fillId="6" borderId="4" xfId="0" applyFill="1" applyBorder="1" applyAlignment="1">
      <alignment vertical="center"/>
    </xf>
    <xf numFmtId="0" fontId="0" fillId="6" borderId="5" xfId="0" applyFill="1" applyBorder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horizontal="right"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5" borderId="0" xfId="0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0" fillId="6" borderId="8" xfId="0" applyFill="1" applyBorder="1" applyAlignment="1">
      <alignment vertical="center"/>
    </xf>
    <xf numFmtId="0" fontId="0" fillId="11" borderId="0" xfId="0" applyFill="1" applyBorder="1" applyAlignment="1" applyProtection="1">
      <alignment horizontal="right" vertical="center"/>
      <protection locked="0"/>
    </xf>
    <xf numFmtId="0" fontId="0" fillId="14" borderId="0" xfId="0" applyFill="1" applyBorder="1" applyAlignment="1" applyProtection="1">
      <alignment vertical="center"/>
    </xf>
    <xf numFmtId="0" fontId="0" fillId="6" borderId="0" xfId="0" applyFill="1" applyBorder="1" applyAlignment="1" applyProtection="1">
      <alignment vertical="center"/>
    </xf>
    <xf numFmtId="11" fontId="0" fillId="0" borderId="0" xfId="0" applyNumberFormat="1"/>
    <xf numFmtId="0" fontId="0" fillId="4" borderId="0" xfId="0" applyFill="1" applyBorder="1" applyAlignment="1" applyProtection="1">
      <alignment horizontal="right" vertical="center"/>
      <protection locked="0"/>
    </xf>
    <xf numFmtId="0" fontId="0" fillId="0" borderId="0" xfId="0" applyAlignment="1"/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5" fillId="14" borderId="9" xfId="0" applyFont="1" applyFill="1" applyBorder="1" applyAlignment="1">
      <alignment horizontal="left" vertical="center"/>
    </xf>
    <xf numFmtId="0" fontId="5" fillId="14" borderId="1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7" borderId="0" xfId="0" applyFont="1" applyFill="1" applyBorder="1" applyAlignment="1">
      <alignment horizontal="center" vertical="center"/>
    </xf>
    <xf numFmtId="0" fontId="1" fillId="6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3" borderId="0" xfId="0" applyFill="1" applyBorder="1" applyAlignment="1">
      <alignment vertical="center"/>
    </xf>
    <xf numFmtId="0" fontId="0" fillId="4" borderId="0" xfId="0" applyFill="1" applyBorder="1" applyAlignment="1" applyProtection="1">
      <alignment vertical="center"/>
      <protection locked="0"/>
    </xf>
    <xf numFmtId="0" fontId="0" fillId="4" borderId="0" xfId="0" applyFill="1" applyBorder="1" applyAlignment="1" applyProtection="1">
      <alignment horizontal="right" vertical="center"/>
      <protection locked="0"/>
    </xf>
    <xf numFmtId="0" fontId="0" fillId="8" borderId="0" xfId="0" applyFill="1" applyBorder="1" applyAlignment="1">
      <alignment horizontal="left" vertical="center"/>
    </xf>
    <xf numFmtId="0" fontId="0" fillId="9" borderId="0" xfId="0" applyFill="1" applyBorder="1" applyAlignment="1" applyProtection="1">
      <alignment horizontal="right" vertical="center"/>
      <protection locked="0"/>
    </xf>
    <xf numFmtId="0" fontId="1" fillId="0" borderId="0" xfId="0" applyFont="1" applyFill="1" applyBorder="1" applyAlignment="1">
      <alignment horizontal="center" vertical="center"/>
    </xf>
    <xf numFmtId="0" fontId="0" fillId="5" borderId="0" xfId="0" applyFill="1" applyBorder="1" applyAlignment="1">
      <alignment vertical="center"/>
    </xf>
    <xf numFmtId="11" fontId="0" fillId="4" borderId="0" xfId="0" applyNumberFormat="1" applyFill="1" applyBorder="1" applyAlignment="1" applyProtection="1">
      <alignment vertical="center"/>
      <protection locked="0"/>
    </xf>
    <xf numFmtId="0" fontId="0" fillId="10" borderId="0" xfId="0" applyNumberFormat="1" applyFill="1" applyBorder="1" applyAlignment="1" applyProtection="1">
      <alignment horizontal="right" vertical="center"/>
      <protection locked="0"/>
    </xf>
    <xf numFmtId="164" fontId="0" fillId="10" borderId="0" xfId="0" applyNumberFormat="1" applyFill="1" applyBorder="1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161595</xdr:colOff>
      <xdr:row>31</xdr:row>
      <xdr:rowOff>85983</xdr:rowOff>
    </xdr:from>
    <xdr:to>
      <xdr:col>2</xdr:col>
      <xdr:colOff>1399844</xdr:colOff>
      <xdr:row>38</xdr:row>
      <xdr:rowOff>20421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319" y="4211293"/>
          <a:ext cx="1238249" cy="9942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33</xdr:row>
          <xdr:rowOff>31750</xdr:rowOff>
        </xdr:from>
        <xdr:to>
          <xdr:col>3</xdr:col>
          <xdr:colOff>1466850</xdr:colOff>
          <xdr:row>33</xdr:row>
          <xdr:rowOff>158750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JADE Input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34</xdr:row>
          <xdr:rowOff>34788</xdr:rowOff>
        </xdr:from>
        <xdr:to>
          <xdr:col>3</xdr:col>
          <xdr:colOff>1466850</xdr:colOff>
          <xdr:row>34</xdr:row>
          <xdr:rowOff>161788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JADE Run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374649</xdr:colOff>
          <xdr:row>0</xdr:row>
          <xdr:rowOff>95250</xdr:rowOff>
        </xdr:from>
        <xdr:to>
          <xdr:col>2</xdr:col>
          <xdr:colOff>689688</xdr:colOff>
          <xdr:row>0</xdr:row>
          <xdr:rowOff>285750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 to Window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L57"/>
  <sheetViews>
    <sheetView showGridLines="0" showRowColHeaders="0" tabSelected="1" zoomScale="154" zoomScaleNormal="154" workbookViewId="0">
      <selection activeCell="D17" sqref="D17"/>
    </sheetView>
  </sheetViews>
  <sheetFormatPr defaultRowHeight="14.5" x14ac:dyDescent="0.35"/>
  <cols>
    <col min="1" max="1" width="5.453125" customWidth="1"/>
    <col min="2" max="2" width="1.453125" customWidth="1"/>
    <col min="3" max="3" width="25" customWidth="1"/>
    <col min="4" max="4" width="23.54296875" customWidth="1"/>
    <col min="5" max="7" width="1.453125" customWidth="1"/>
    <col min="8" max="8" width="25" customWidth="1"/>
    <col min="9" max="9" width="23.54296875" customWidth="1"/>
    <col min="10" max="10" width="1.453125" customWidth="1"/>
    <col min="11" max="11" width="5.453125" customWidth="1"/>
  </cols>
  <sheetData>
    <row r="1" spans="2:10" ht="30" customHeight="1" thickBot="1" x14ac:dyDescent="0.4">
      <c r="B1" s="51"/>
      <c r="I1" s="52" t="str">
        <f>IF(ISERR(Lists!A31),"No JADE Input Loaded",Lists!A31)</f>
        <v>No JADE Input Loaded</v>
      </c>
    </row>
    <row r="2" spans="2:10" ht="8.15" customHeight="1" x14ac:dyDescent="0.35">
      <c r="B2" s="9"/>
      <c r="C2" s="10"/>
      <c r="D2" s="10"/>
      <c r="E2" s="11"/>
      <c r="F2" s="12"/>
      <c r="G2" s="13"/>
      <c r="H2" s="14"/>
      <c r="I2" s="14"/>
      <c r="J2" s="15"/>
    </row>
    <row r="3" spans="2:10" ht="15" customHeight="1" x14ac:dyDescent="0.35">
      <c r="B3" s="16"/>
      <c r="C3" s="55" t="s">
        <v>0</v>
      </c>
      <c r="D3" s="55"/>
      <c r="E3" s="17"/>
      <c r="F3" s="12"/>
      <c r="G3" s="18"/>
      <c r="H3" s="56" t="s">
        <v>12</v>
      </c>
      <c r="I3" s="56"/>
      <c r="J3" s="19"/>
    </row>
    <row r="4" spans="2:10" ht="7" customHeight="1" x14ac:dyDescent="0.35">
      <c r="B4" s="16"/>
      <c r="C4" s="55"/>
      <c r="D4" s="55"/>
      <c r="E4" s="17"/>
      <c r="F4" s="12"/>
      <c r="G4" s="18"/>
      <c r="H4" s="56"/>
      <c r="I4" s="56"/>
      <c r="J4" s="19"/>
    </row>
    <row r="5" spans="2:10" ht="7.5" customHeight="1" x14ac:dyDescent="0.35">
      <c r="B5" s="16"/>
      <c r="C5" s="5"/>
      <c r="D5" s="5"/>
      <c r="E5" s="17"/>
      <c r="F5" s="12"/>
      <c r="G5" s="18"/>
      <c r="H5" s="20"/>
      <c r="I5" s="20"/>
      <c r="J5" s="19"/>
    </row>
    <row r="6" spans="2:10" ht="15" customHeight="1" x14ac:dyDescent="0.35">
      <c r="B6" s="16"/>
      <c r="C6" s="7" t="s">
        <v>2</v>
      </c>
      <c r="D6" s="6" t="s">
        <v>37</v>
      </c>
      <c r="E6" s="17"/>
      <c r="F6" s="12"/>
      <c r="G6" s="18"/>
      <c r="H6" s="21" t="s">
        <v>15</v>
      </c>
      <c r="I6" s="22">
        <v>5000</v>
      </c>
      <c r="J6" s="19"/>
    </row>
    <row r="7" spans="2:10" ht="7.5" customHeight="1" x14ac:dyDescent="0.35">
      <c r="B7" s="16"/>
      <c r="C7" s="5"/>
      <c r="D7" s="5"/>
      <c r="E7" s="17"/>
      <c r="F7" s="12"/>
      <c r="G7" s="18"/>
      <c r="H7" s="20"/>
      <c r="I7" s="20"/>
      <c r="J7" s="19"/>
    </row>
    <row r="8" spans="2:10" ht="15" customHeight="1" x14ac:dyDescent="0.35">
      <c r="B8" s="16"/>
      <c r="C8" s="7" t="s">
        <v>13</v>
      </c>
      <c r="D8" s="6"/>
      <c r="E8" s="17"/>
      <c r="F8" s="12"/>
      <c r="G8" s="18"/>
      <c r="H8" s="21" t="s">
        <v>16</v>
      </c>
      <c r="I8" s="22"/>
      <c r="J8" s="19"/>
    </row>
    <row r="9" spans="2:10" ht="7.5" customHeight="1" x14ac:dyDescent="0.35">
      <c r="B9" s="16"/>
      <c r="C9" s="5"/>
      <c r="D9" s="5"/>
      <c r="E9" s="17"/>
      <c r="F9" s="12"/>
      <c r="G9" s="18"/>
      <c r="H9" s="20"/>
      <c r="I9" s="20"/>
      <c r="J9" s="19"/>
    </row>
    <row r="10" spans="2:10" ht="15" customHeight="1" x14ac:dyDescent="0.35">
      <c r="B10" s="16"/>
      <c r="C10" s="7" t="s">
        <v>3</v>
      </c>
      <c r="D10" s="8"/>
      <c r="E10" s="17"/>
      <c r="F10" s="12"/>
      <c r="G10" s="18"/>
      <c r="H10" s="21" t="s">
        <v>10</v>
      </c>
      <c r="I10" s="4" t="b">
        <v>0</v>
      </c>
      <c r="J10" s="19"/>
    </row>
    <row r="11" spans="2:10" ht="15" customHeight="1" x14ac:dyDescent="0.35">
      <c r="B11" s="16"/>
      <c r="C11" s="7" t="s">
        <v>4</v>
      </c>
      <c r="D11" s="8">
        <v>1</v>
      </c>
      <c r="E11" s="17"/>
      <c r="F11" s="12"/>
      <c r="G11" s="18"/>
      <c r="H11" s="21" t="s">
        <v>11</v>
      </c>
      <c r="I11" s="23" t="s">
        <v>30</v>
      </c>
      <c r="J11" s="19"/>
    </row>
    <row r="12" spans="2:10" ht="7.5" customHeight="1" x14ac:dyDescent="0.35">
      <c r="B12" s="16"/>
      <c r="C12" s="58" t="s">
        <v>5</v>
      </c>
      <c r="D12" s="61">
        <v>52</v>
      </c>
      <c r="E12" s="17"/>
      <c r="F12" s="12"/>
      <c r="G12" s="18"/>
      <c r="H12" s="20"/>
      <c r="I12" s="20"/>
      <c r="J12" s="19"/>
    </row>
    <row r="13" spans="2:10" ht="7.5" customHeight="1" x14ac:dyDescent="0.35">
      <c r="B13" s="16"/>
      <c r="C13" s="58"/>
      <c r="D13" s="61"/>
      <c r="E13" s="17"/>
      <c r="F13" s="12"/>
      <c r="G13" s="18"/>
      <c r="H13" s="62" t="s">
        <v>47</v>
      </c>
      <c r="I13" s="67">
        <v>0</v>
      </c>
      <c r="J13" s="19"/>
    </row>
    <row r="14" spans="2:10" ht="7" customHeight="1" x14ac:dyDescent="0.35">
      <c r="B14" s="16"/>
      <c r="C14" s="5"/>
      <c r="D14" s="5"/>
      <c r="E14" s="17"/>
      <c r="F14" s="12"/>
      <c r="G14" s="18"/>
      <c r="H14" s="62"/>
      <c r="I14" s="67"/>
      <c r="J14" s="19"/>
    </row>
    <row r="15" spans="2:10" ht="15" customHeight="1" x14ac:dyDescent="0.35">
      <c r="B15" s="16"/>
      <c r="C15" s="7" t="s">
        <v>42</v>
      </c>
      <c r="D15" s="48" t="s">
        <v>46</v>
      </c>
      <c r="E15" s="17"/>
      <c r="F15" s="12"/>
      <c r="G15" s="18"/>
      <c r="H15" s="21" t="s">
        <v>48</v>
      </c>
      <c r="I15" s="68">
        <v>0</v>
      </c>
      <c r="J15" s="19"/>
    </row>
    <row r="16" spans="2:10" ht="7.5" customHeight="1" x14ac:dyDescent="0.35">
      <c r="B16" s="16"/>
      <c r="C16" s="5"/>
      <c r="D16" s="5"/>
      <c r="E16" s="17"/>
      <c r="F16" s="12"/>
      <c r="G16" s="18"/>
      <c r="H16" s="20"/>
      <c r="I16" s="20"/>
      <c r="J16" s="19"/>
    </row>
    <row r="17" spans="2:12" ht="15" customHeight="1" x14ac:dyDescent="0.35">
      <c r="B17" s="16"/>
      <c r="C17" s="7" t="s">
        <v>6</v>
      </c>
      <c r="D17" s="8"/>
      <c r="E17" s="17"/>
      <c r="F17" s="12"/>
      <c r="G17" s="18"/>
      <c r="H17" s="21" t="s">
        <v>36</v>
      </c>
      <c r="I17" s="45">
        <v>1</v>
      </c>
      <c r="J17" s="19"/>
    </row>
    <row r="18" spans="2:12" ht="7.5" customHeight="1" thickBot="1" x14ac:dyDescent="0.4">
      <c r="B18" s="16"/>
      <c r="C18" s="59" t="s">
        <v>7</v>
      </c>
      <c r="D18" s="60"/>
      <c r="E18" s="17"/>
      <c r="F18" s="12"/>
      <c r="G18" s="24"/>
      <c r="H18" s="25"/>
      <c r="I18" s="25"/>
      <c r="J18" s="26"/>
    </row>
    <row r="19" spans="2:12" ht="7.5" customHeight="1" thickBot="1" x14ac:dyDescent="0.4">
      <c r="B19" s="16"/>
      <c r="C19" s="59"/>
      <c r="D19" s="60"/>
      <c r="E19" s="17"/>
      <c r="F19" s="12"/>
      <c r="G19" s="27"/>
      <c r="H19" s="27"/>
      <c r="I19" s="27"/>
      <c r="J19" s="27"/>
      <c r="K19" s="2"/>
    </row>
    <row r="20" spans="2:12" ht="7.5" customHeight="1" x14ac:dyDescent="0.35">
      <c r="B20" s="16"/>
      <c r="C20" s="5"/>
      <c r="D20" s="5"/>
      <c r="E20" s="17"/>
      <c r="F20" s="12"/>
      <c r="G20" s="28"/>
      <c r="H20" s="29"/>
      <c r="I20" s="29"/>
      <c r="J20" s="30"/>
      <c r="K20" s="49"/>
      <c r="L20" s="49"/>
    </row>
    <row r="21" spans="2:12" ht="15" customHeight="1" x14ac:dyDescent="0.35">
      <c r="B21" s="16"/>
      <c r="C21" s="7" t="s">
        <v>8</v>
      </c>
      <c r="D21" s="8">
        <v>3</v>
      </c>
      <c r="E21" s="17"/>
      <c r="F21" s="12"/>
      <c r="G21" s="31"/>
      <c r="H21" s="57" t="s">
        <v>1</v>
      </c>
      <c r="I21" s="57"/>
      <c r="J21" s="32"/>
    </row>
    <row r="22" spans="2:12" ht="7.5" customHeight="1" x14ac:dyDescent="0.35">
      <c r="B22" s="16"/>
      <c r="C22" s="5"/>
      <c r="D22" s="5"/>
      <c r="E22" s="17"/>
      <c r="F22" s="12"/>
      <c r="G22" s="31"/>
      <c r="H22" s="57"/>
      <c r="I22" s="57"/>
      <c r="J22" s="32"/>
    </row>
    <row r="23" spans="2:12" ht="7.5" customHeight="1" x14ac:dyDescent="0.35">
      <c r="B23" s="16"/>
      <c r="C23" s="59" t="s">
        <v>24</v>
      </c>
      <c r="D23" s="60">
        <v>500</v>
      </c>
      <c r="E23" s="17"/>
      <c r="F23" s="12"/>
      <c r="G23" s="31"/>
      <c r="H23" s="33"/>
      <c r="I23" s="33"/>
      <c r="J23" s="32"/>
    </row>
    <row r="24" spans="2:12" ht="7.5" customHeight="1" x14ac:dyDescent="0.35">
      <c r="B24" s="16"/>
      <c r="C24" s="59"/>
      <c r="D24" s="60"/>
      <c r="E24" s="17"/>
      <c r="F24" s="12"/>
      <c r="G24" s="31"/>
      <c r="H24" s="65" t="s">
        <v>17</v>
      </c>
      <c r="I24" s="63" t="s">
        <v>38</v>
      </c>
      <c r="J24" s="32"/>
    </row>
    <row r="25" spans="2:12" ht="7.5" customHeight="1" x14ac:dyDescent="0.35">
      <c r="B25" s="16"/>
      <c r="C25" s="59" t="s">
        <v>25</v>
      </c>
      <c r="D25" s="60">
        <v>50</v>
      </c>
      <c r="E25" s="17"/>
      <c r="F25" s="12"/>
      <c r="G25" s="31"/>
      <c r="H25" s="65"/>
      <c r="I25" s="63"/>
      <c r="J25" s="32"/>
    </row>
    <row r="26" spans="2:12" ht="7.5" customHeight="1" x14ac:dyDescent="0.35">
      <c r="B26" s="16"/>
      <c r="C26" s="59"/>
      <c r="D26" s="60"/>
      <c r="E26" s="17"/>
      <c r="F26" s="12"/>
      <c r="G26" s="31"/>
      <c r="H26" s="33"/>
      <c r="I26" s="34"/>
      <c r="J26" s="32"/>
    </row>
    <row r="27" spans="2:12" ht="7.5" customHeight="1" x14ac:dyDescent="0.35">
      <c r="B27" s="16"/>
      <c r="C27" s="5"/>
      <c r="D27" s="5"/>
      <c r="E27" s="17"/>
      <c r="F27" s="12"/>
      <c r="G27" s="31"/>
      <c r="H27" s="65" t="s">
        <v>18</v>
      </c>
      <c r="I27" s="63" t="s">
        <v>19</v>
      </c>
      <c r="J27" s="32"/>
    </row>
    <row r="28" spans="2:12" ht="7.5" customHeight="1" x14ac:dyDescent="0.35">
      <c r="B28" s="16"/>
      <c r="C28" s="59" t="s">
        <v>34</v>
      </c>
      <c r="D28" s="66">
        <v>1000000</v>
      </c>
      <c r="E28" s="17"/>
      <c r="F28" s="12"/>
      <c r="G28" s="31"/>
      <c r="H28" s="65"/>
      <c r="I28" s="63"/>
      <c r="J28" s="32"/>
    </row>
    <row r="29" spans="2:12" ht="7.5" customHeight="1" x14ac:dyDescent="0.35">
      <c r="B29" s="16"/>
      <c r="C29" s="59"/>
      <c r="D29" s="60"/>
      <c r="E29" s="17"/>
      <c r="F29" s="12"/>
      <c r="G29" s="31"/>
      <c r="H29" s="33"/>
      <c r="I29" s="33"/>
      <c r="J29" s="32"/>
    </row>
    <row r="30" spans="2:12" ht="15" customHeight="1" x14ac:dyDescent="0.35">
      <c r="B30" s="16"/>
      <c r="C30" s="7" t="s">
        <v>35</v>
      </c>
      <c r="D30" s="8">
        <v>1</v>
      </c>
      <c r="E30" s="17"/>
      <c r="F30" s="12"/>
      <c r="G30" s="31"/>
      <c r="H30" s="40" t="s">
        <v>26</v>
      </c>
      <c r="I30" s="44" t="b">
        <v>1</v>
      </c>
      <c r="J30" s="32"/>
    </row>
    <row r="31" spans="2:12" ht="7.5" customHeight="1" thickBot="1" x14ac:dyDescent="0.4">
      <c r="B31" s="35"/>
      <c r="C31" s="36"/>
      <c r="D31" s="36"/>
      <c r="E31" s="37"/>
      <c r="F31" s="12"/>
      <c r="G31" s="31"/>
      <c r="H31" s="33"/>
      <c r="I31" s="33"/>
      <c r="J31" s="32"/>
    </row>
    <row r="32" spans="2:12" ht="15" customHeight="1" x14ac:dyDescent="0.35">
      <c r="B32" s="38"/>
      <c r="C32" s="38"/>
      <c r="D32" s="38"/>
      <c r="E32" s="38"/>
      <c r="F32" s="12"/>
      <c r="G32" s="31"/>
      <c r="H32" s="40" t="s">
        <v>27</v>
      </c>
      <c r="I32" s="44">
        <v>100</v>
      </c>
      <c r="J32" s="32"/>
    </row>
    <row r="33" spans="2:10" ht="7.5" customHeight="1" thickBot="1" x14ac:dyDescent="0.4">
      <c r="B33" s="38"/>
      <c r="C33" s="38"/>
      <c r="E33" s="38"/>
      <c r="F33" s="12"/>
      <c r="G33" s="31"/>
      <c r="H33" s="33"/>
      <c r="I33" s="46"/>
      <c r="J33" s="32"/>
    </row>
    <row r="34" spans="2:10" ht="15" customHeight="1" thickBot="1" x14ac:dyDescent="0.4">
      <c r="B34" s="38"/>
      <c r="C34" s="39"/>
      <c r="D34" s="53" t="s">
        <v>44</v>
      </c>
      <c r="E34" s="38"/>
      <c r="F34" s="12"/>
      <c r="G34" s="31"/>
      <c r="H34" s="40" t="s">
        <v>21</v>
      </c>
      <c r="I34" s="23" t="s">
        <v>30</v>
      </c>
      <c r="J34" s="32"/>
    </row>
    <row r="35" spans="2:10" ht="15" customHeight="1" thickBot="1" x14ac:dyDescent="0.4">
      <c r="B35" s="38"/>
      <c r="C35" s="39"/>
      <c r="D35" s="54" t="s">
        <v>45</v>
      </c>
      <c r="E35" s="38"/>
      <c r="F35" s="12"/>
      <c r="G35" s="31"/>
      <c r="H35" s="40" t="s">
        <v>22</v>
      </c>
      <c r="I35" s="23" t="s">
        <v>30</v>
      </c>
      <c r="J35" s="32"/>
    </row>
    <row r="36" spans="2:10" ht="7.5" customHeight="1" x14ac:dyDescent="0.35">
      <c r="B36" s="38"/>
      <c r="C36" s="39"/>
      <c r="D36" s="39"/>
      <c r="E36" s="38"/>
      <c r="F36" s="12"/>
      <c r="G36" s="31"/>
      <c r="H36" s="33"/>
      <c r="I36" s="33"/>
      <c r="J36" s="32"/>
    </row>
    <row r="37" spans="2:10" ht="15" customHeight="1" x14ac:dyDescent="0.35">
      <c r="B37" s="38"/>
      <c r="C37" s="39"/>
      <c r="D37" s="50" t="s">
        <v>43</v>
      </c>
      <c r="E37" s="38"/>
      <c r="F37" s="12"/>
      <c r="G37" s="31"/>
      <c r="H37" s="40" t="s">
        <v>23</v>
      </c>
      <c r="I37" s="44"/>
      <c r="J37" s="32"/>
    </row>
    <row r="38" spans="2:10" ht="7.5" customHeight="1" thickBot="1" x14ac:dyDescent="0.4">
      <c r="B38" s="38"/>
      <c r="C38" s="38"/>
      <c r="D38" s="38"/>
      <c r="E38" s="38"/>
      <c r="F38" s="12"/>
      <c r="G38" s="41"/>
      <c r="H38" s="42"/>
      <c r="I38" s="42"/>
      <c r="J38" s="43"/>
    </row>
    <row r="39" spans="2:10" ht="30" customHeight="1" x14ac:dyDescent="0.35">
      <c r="B39" s="1"/>
      <c r="C39" s="1"/>
      <c r="D39" s="1"/>
      <c r="E39" s="1"/>
    </row>
    <row r="40" spans="2:10" ht="15" customHeight="1" x14ac:dyDescent="0.35">
      <c r="B40" s="1"/>
      <c r="C40" s="1"/>
      <c r="D40" s="1"/>
      <c r="E40" s="1"/>
    </row>
    <row r="41" spans="2:10" ht="15" customHeight="1" x14ac:dyDescent="0.35">
      <c r="B41" s="1"/>
      <c r="C41" s="1"/>
      <c r="D41" s="1"/>
      <c r="E41" s="1"/>
    </row>
    <row r="42" spans="2:10" ht="15" customHeight="1" x14ac:dyDescent="0.35">
      <c r="B42" s="1"/>
      <c r="C42" s="1"/>
      <c r="D42" s="1"/>
      <c r="E42" s="1"/>
    </row>
    <row r="43" spans="2:10" ht="15" customHeight="1" x14ac:dyDescent="0.35">
      <c r="B43" s="1"/>
      <c r="C43" s="1"/>
      <c r="D43" s="1"/>
      <c r="E43" s="1"/>
    </row>
    <row r="44" spans="2:10" ht="15" customHeight="1" x14ac:dyDescent="0.35">
      <c r="B44" s="1"/>
      <c r="C44" s="1"/>
      <c r="D44" s="1"/>
      <c r="E44" s="1"/>
    </row>
    <row r="45" spans="2:10" ht="15" customHeight="1" x14ac:dyDescent="0.35">
      <c r="B45" s="1"/>
      <c r="C45" s="64"/>
      <c r="D45" s="64"/>
      <c r="E45" s="1"/>
    </row>
    <row r="46" spans="2:10" ht="15" customHeight="1" x14ac:dyDescent="0.35">
      <c r="B46" s="1"/>
      <c r="C46" s="1"/>
      <c r="D46" s="1"/>
      <c r="E46" s="1"/>
    </row>
    <row r="47" spans="2:10" ht="15" customHeight="1" x14ac:dyDescent="0.35">
      <c r="B47" s="1"/>
      <c r="C47" s="1"/>
      <c r="D47" s="3"/>
      <c r="E47" s="1"/>
    </row>
    <row r="48" spans="2:10" ht="15" customHeight="1" x14ac:dyDescent="0.35">
      <c r="B48" s="1"/>
      <c r="C48" s="1"/>
      <c r="D48" s="1"/>
      <c r="E48" s="1"/>
    </row>
    <row r="49" spans="2:5" ht="15" customHeight="1" x14ac:dyDescent="0.35">
      <c r="B49" s="1"/>
      <c r="C49" s="1"/>
      <c r="D49" s="3"/>
      <c r="E49" s="1"/>
    </row>
    <row r="50" spans="2:5" ht="15" customHeight="1" x14ac:dyDescent="0.35">
      <c r="B50" s="1"/>
      <c r="C50" s="1"/>
      <c r="D50" s="1"/>
      <c r="E50" s="1"/>
    </row>
    <row r="51" spans="2:5" ht="15" customHeight="1" x14ac:dyDescent="0.35">
      <c r="B51" s="1"/>
      <c r="C51" s="1"/>
      <c r="D51" s="1"/>
      <c r="E51" s="1"/>
    </row>
    <row r="52" spans="2:5" ht="15" customHeight="1" x14ac:dyDescent="0.35">
      <c r="B52" s="1"/>
      <c r="C52" s="1"/>
      <c r="D52" s="1"/>
      <c r="E52" s="1"/>
    </row>
    <row r="53" spans="2:5" ht="15" customHeight="1" x14ac:dyDescent="0.35">
      <c r="B53" s="1"/>
      <c r="C53" s="1"/>
      <c r="D53" s="1"/>
      <c r="E53" s="1"/>
    </row>
    <row r="54" spans="2:5" ht="15" customHeight="1" x14ac:dyDescent="0.35">
      <c r="B54" s="1"/>
      <c r="C54" s="1"/>
      <c r="D54" s="3"/>
      <c r="E54" s="1"/>
    </row>
    <row r="55" spans="2:5" ht="15" customHeight="1" x14ac:dyDescent="0.35">
      <c r="B55" s="1"/>
      <c r="C55" s="1"/>
      <c r="D55" s="1"/>
      <c r="E55" s="1"/>
    </row>
    <row r="56" spans="2:5" ht="15" customHeight="1" x14ac:dyDescent="0.35">
      <c r="B56" s="1"/>
      <c r="C56" s="1"/>
      <c r="D56" s="1"/>
      <c r="E56" s="1"/>
    </row>
    <row r="57" spans="2:5" ht="15" customHeight="1" x14ac:dyDescent="0.35">
      <c r="B57" s="1"/>
      <c r="C57" s="1"/>
      <c r="D57" s="1"/>
      <c r="E57" s="1"/>
    </row>
  </sheetData>
  <sheetProtection sheet="1" objects="1" scenarios="1" selectLockedCells="1"/>
  <mergeCells count="20">
    <mergeCell ref="I24:I25"/>
    <mergeCell ref="C25:C26"/>
    <mergeCell ref="D25:D26"/>
    <mergeCell ref="C45:D45"/>
    <mergeCell ref="H27:H28"/>
    <mergeCell ref="I27:I28"/>
    <mergeCell ref="C23:C24"/>
    <mergeCell ref="D23:D24"/>
    <mergeCell ref="H24:H25"/>
    <mergeCell ref="C28:C29"/>
    <mergeCell ref="D28:D29"/>
    <mergeCell ref="C3:D4"/>
    <mergeCell ref="H3:I4"/>
    <mergeCell ref="H21:I22"/>
    <mergeCell ref="C12:C13"/>
    <mergeCell ref="C18:C19"/>
    <mergeCell ref="D18:D19"/>
    <mergeCell ref="D12:D13"/>
    <mergeCell ref="H13:H14"/>
    <mergeCell ref="I13:I14"/>
  </mergeCells>
  <dataValidations count="5">
    <dataValidation type="whole" allowBlank="1" showInputMessage="1" showErrorMessage="1" sqref="D11" xr:uid="{00000000-0002-0000-0000-000000000000}">
      <formula1>1</formula1>
      <formula2>52</formula2>
    </dataValidation>
    <dataValidation type="whole" operator="greaterThan" allowBlank="1" showInputMessage="1" showErrorMessage="1" sqref="I37 I32" xr:uid="{00000000-0002-0000-0000-000002000000}">
      <formula1>0</formula1>
    </dataValidation>
    <dataValidation type="decimal" allowBlank="1" showInputMessage="1" showErrorMessage="1" sqref="D15 I13:I14 I15" xr:uid="{00000000-0002-0000-0000-000004000000}">
      <formula1>0</formula1>
      <formula2>1</formula2>
    </dataValidation>
    <dataValidation type="decimal" operator="greaterThanOrEqual" allowBlank="1" showInputMessage="1" showErrorMessage="1" sqref="D23 D25" xr:uid="{00000000-0002-0000-0000-000005000000}">
      <formula1>0</formula1>
    </dataValidation>
    <dataValidation type="decimal" operator="greaterThan" allowBlank="1" showInputMessage="1" showErrorMessage="1" sqref="D28:D30" xr:uid="{00000000-0002-0000-0000-000006000000}">
      <formula1>0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4" r:id="rId4" name="Button 50">
              <controlPr defaultSize="0" print="0" autoFill="0" autoPict="0" macro="[0]!Sheet1.find_JADE_input">
                <anchor moveWithCells="1" sizeWithCells="1">
                  <from>
                    <xdr:col>3</xdr:col>
                    <xdr:colOff>457200</xdr:colOff>
                    <xdr:row>33</xdr:row>
                    <xdr:rowOff>31750</xdr:rowOff>
                  </from>
                  <to>
                    <xdr:col>3</xdr:col>
                    <xdr:colOff>1466850</xdr:colOff>
                    <xdr:row>33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" name="Button 52">
              <controlPr defaultSize="0" print="0" autoFill="0" autoPict="0" macro="[0]!Sheet1.create_run_file">
                <anchor moveWithCells="1" sizeWithCells="1">
                  <from>
                    <xdr:col>3</xdr:col>
                    <xdr:colOff>457200</xdr:colOff>
                    <xdr:row>34</xdr:row>
                    <xdr:rowOff>31750</xdr:rowOff>
                  </from>
                  <to>
                    <xdr:col>3</xdr:col>
                    <xdr:colOff>1466850</xdr:colOff>
                    <xdr:row>34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" name="Button 59">
              <controlPr defaultSize="0" print="0" autoFill="0" autoPict="0" macro="[0]!Sheet1.zoom">
                <anchor moveWithCells="1" sizeWithCells="1">
                  <from>
                    <xdr:col>0</xdr:col>
                    <xdr:colOff>374650</xdr:colOff>
                    <xdr:row>0</xdr:row>
                    <xdr:rowOff>95250</xdr:rowOff>
                  </from>
                  <to>
                    <xdr:col>2</xdr:col>
                    <xdr:colOff>692150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operator="greaterThanOrEqual" allowBlank="1" showInputMessage="1" showErrorMessage="1" xr:uid="{00000000-0002-0000-0000-000003000000}">
          <x14:formula1>
            <xm:f>OFFSET(Lists!$C$6,0,0,1,Lists!$B$6)</xm:f>
          </x14:formula1>
          <xm:sqref>I34:I35 D17:D19</xm:sqref>
        </x14:dataValidation>
        <x14:dataValidation type="list" allowBlank="1" showInputMessage="1" showErrorMessage="1" xr:uid="{00000000-0002-0000-0000-000007000000}">
          <x14:formula1>
            <xm:f>Lists!$B$1:$G$1</xm:f>
          </x14:formula1>
          <xm:sqref>D21</xm:sqref>
        </x14:dataValidation>
        <x14:dataValidation type="list" allowBlank="1" showInputMessage="1" showErrorMessage="1" xr:uid="{00000000-0002-0000-0000-000008000000}">
          <x14:formula1>
            <xm:f>Lists!$B$3:$C$3</xm:f>
          </x14:formula1>
          <xm:sqref>I30 I10</xm:sqref>
        </x14:dataValidation>
        <x14:dataValidation type="list" allowBlank="1" showInputMessage="1" showErrorMessage="1" xr:uid="{00000000-0002-0000-0000-000009000000}">
          <x14:formula1>
            <xm:f>Lists!$B$2:$D$2</xm:f>
          </x14:formula1>
          <xm:sqref>I27:I28</xm:sqref>
        </x14:dataValidation>
        <x14:dataValidation type="list" operator="greaterThan" allowBlank="1" showInputMessage="1" showErrorMessage="1" xr:uid="{AFE981B9-11DE-4EA4-A8D4-D8E81898A9B6}">
          <x14:formula1>
            <xm:f>Lists!$B$4:$BA$4</xm:f>
          </x14:formula1>
          <xm:sqref>D12:D13</xm:sqref>
        </x14:dataValidation>
        <x14:dataValidation type="list" allowBlank="1" showInputMessage="1" showErrorMessage="1" xr:uid="{00000000-0002-0000-0000-000001000000}">
          <x14:formula1>
            <xm:f>OFFSET(Lists!$C$5,0,0,1,Lists!$B$5)</xm:f>
          </x14:formula1>
          <xm:sqref>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42"/>
  <sheetViews>
    <sheetView workbookViewId="0">
      <selection activeCell="A25" sqref="A25:XFD25"/>
    </sheetView>
  </sheetViews>
  <sheetFormatPr defaultRowHeight="14.5" x14ac:dyDescent="0.35"/>
  <cols>
    <col min="1" max="1" width="50.81640625" customWidth="1"/>
  </cols>
  <sheetData>
    <row r="1" spans="1:2" x14ac:dyDescent="0.35">
      <c r="A1" t="s">
        <v>2</v>
      </c>
      <c r="B1" t="str">
        <f>'JADE Settings'!D6</f>
        <v>policy1</v>
      </c>
    </row>
    <row r="3" spans="1:2" x14ac:dyDescent="0.35">
      <c r="A3" t="str">
        <f>IF('JADE Settings'!D8="","","Scenario")</f>
        <v/>
      </c>
      <c r="B3" t="str">
        <f>IF('JADE Settings'!D8="","",'JADE Settings'!D8)</f>
        <v/>
      </c>
    </row>
    <row r="5" spans="1:2" x14ac:dyDescent="0.35">
      <c r="A5" t="s">
        <v>3</v>
      </c>
      <c r="B5">
        <f>'JADE Settings'!D10</f>
        <v>0</v>
      </c>
    </row>
    <row r="6" spans="1:2" x14ac:dyDescent="0.35">
      <c r="A6" t="s">
        <v>4</v>
      </c>
      <c r="B6">
        <f>'JADE Settings'!D11</f>
        <v>1</v>
      </c>
    </row>
    <row r="7" spans="1:2" x14ac:dyDescent="0.35">
      <c r="A7" t="s">
        <v>5</v>
      </c>
      <c r="B7">
        <f>'JADE Settings'!D12</f>
        <v>52</v>
      </c>
    </row>
    <row r="9" spans="1:2" x14ac:dyDescent="0.35">
      <c r="A9" t="s">
        <v>31</v>
      </c>
      <c r="B9" t="str">
        <f>IF('JADE Settings'!I8="","",'JADE Settings'!I8)</f>
        <v/>
      </c>
    </row>
    <row r="11" spans="1:2" x14ac:dyDescent="0.35">
      <c r="A11" t="s">
        <v>32</v>
      </c>
      <c r="B11">
        <f>'JADE Settings'!I6</f>
        <v>5000</v>
      </c>
    </row>
    <row r="13" spans="1:2" x14ac:dyDescent="0.35">
      <c r="A13" t="s">
        <v>6</v>
      </c>
      <c r="B13">
        <f>'JADE Settings'!D17</f>
        <v>0</v>
      </c>
    </row>
    <row r="14" spans="1:2" x14ac:dyDescent="0.35">
      <c r="A14" t="s">
        <v>7</v>
      </c>
      <c r="B14">
        <f>'JADE Settings'!D18</f>
        <v>0</v>
      </c>
    </row>
    <row r="16" spans="1:2" x14ac:dyDescent="0.35">
      <c r="A16" t="s">
        <v>8</v>
      </c>
      <c r="B16">
        <f>'JADE Settings'!D21</f>
        <v>3</v>
      </c>
    </row>
    <row r="18" spans="1:2" x14ac:dyDescent="0.35">
      <c r="A18" t="s">
        <v>9</v>
      </c>
      <c r="B18" t="str">
        <f>LEFT('JADE Settings'!D15,FIND(" ",'JADE Settings'!D15)-1)</f>
        <v>0.92</v>
      </c>
    </row>
    <row r="20" spans="1:2" x14ac:dyDescent="0.35">
      <c r="A20" t="s">
        <v>10</v>
      </c>
      <c r="B20" t="b">
        <f>'JADE Settings'!I10</f>
        <v>0</v>
      </c>
    </row>
    <row r="22" spans="1:2" x14ac:dyDescent="0.35">
      <c r="A22" t="s">
        <v>11</v>
      </c>
      <c r="B22" t="str">
        <f>IF('JADE Settings'!I11="N/A","",'JADE Settings'!I11)</f>
        <v/>
      </c>
    </row>
    <row r="24" spans="1:2" x14ac:dyDescent="0.35">
      <c r="A24" t="s">
        <v>47</v>
      </c>
      <c r="B24">
        <f>'JADE Settings'!I13</f>
        <v>0</v>
      </c>
    </row>
    <row r="25" spans="1:2" x14ac:dyDescent="0.35">
      <c r="A25" t="s">
        <v>48</v>
      </c>
      <c r="B25">
        <f>IF('JADE Settings'!I15="","",'JADE Settings'!I15)</f>
        <v>0</v>
      </c>
    </row>
    <row r="27" spans="1:2" x14ac:dyDescent="0.35">
      <c r="A27" t="s">
        <v>17</v>
      </c>
      <c r="B27" t="str">
        <f>'JADE Settings'!I24</f>
        <v>sim1</v>
      </c>
    </row>
    <row r="28" spans="1:2" x14ac:dyDescent="0.35">
      <c r="A28" t="s">
        <v>18</v>
      </c>
      <c r="B28" t="str">
        <f>IF(LEFT('JADE Settings'!I27,3)="His","Historical","Monte Carlo")</f>
        <v>Monte Carlo</v>
      </c>
    </row>
    <row r="30" spans="1:2" x14ac:dyDescent="0.35">
      <c r="A30" t="s">
        <v>21</v>
      </c>
      <c r="B30" t="str">
        <f>'JADE Settings'!I34</f>
        <v>N/A</v>
      </c>
    </row>
    <row r="31" spans="1:2" x14ac:dyDescent="0.35">
      <c r="A31" t="s">
        <v>22</v>
      </c>
      <c r="B31" t="str">
        <f>'JADE Settings'!I35</f>
        <v>N/A</v>
      </c>
    </row>
    <row r="33" spans="1:2" x14ac:dyDescent="0.35">
      <c r="A33" t="s">
        <v>33</v>
      </c>
      <c r="B33" t="b">
        <f>'JADE Settings'!I30</f>
        <v>1</v>
      </c>
    </row>
    <row r="34" spans="1:2" x14ac:dyDescent="0.35">
      <c r="A34" t="str">
        <f>IF('JADE Settings'!I32="N/A","","Simulation sample size")</f>
        <v>Simulation sample size</v>
      </c>
      <c r="B34">
        <f>IF('JADE Settings'!I32="N/A","",'JADE Settings'!I32)</f>
        <v>100</v>
      </c>
    </row>
    <row r="36" spans="1:2" x14ac:dyDescent="0.35">
      <c r="A36" t="str">
        <f>IF(OR('JADE Settings'!I37="N/A",'JADE Settings'!I37=""),"","Random seed")</f>
        <v/>
      </c>
      <c r="B36" t="str">
        <f>IF(OR('JADE Settings'!I37="N/A",'JADE Settings'!I37=""),"",'JADE Settings'!I37)</f>
        <v/>
      </c>
    </row>
    <row r="38" spans="1:2" x14ac:dyDescent="0.35">
      <c r="A38" t="s">
        <v>24</v>
      </c>
      <c r="B38">
        <f>'JADE Settings'!D23</f>
        <v>500</v>
      </c>
    </row>
    <row r="39" spans="1:2" x14ac:dyDescent="0.35">
      <c r="A39" t="s">
        <v>25</v>
      </c>
      <c r="B39">
        <f>'JADE Settings'!D25</f>
        <v>50</v>
      </c>
    </row>
    <row r="41" spans="1:2" x14ac:dyDescent="0.35">
      <c r="A41" t="str">
        <f>IF('JADE Settings'!D30="","","Scale reservoirs")</f>
        <v>Scale reservoirs</v>
      </c>
      <c r="B41">
        <f>IF('JADE Settings'!D30="","",'JADE Settings'!D30)</f>
        <v>1</v>
      </c>
    </row>
    <row r="42" spans="1:2" x14ac:dyDescent="0.35">
      <c r="A42" t="str">
        <f>IF('JADE Settings'!D28="","","Scale objective")</f>
        <v>Scale objective</v>
      </c>
      <c r="B42" s="47">
        <f>IF('JADE Settings'!D28="","",'JADE Settings'!D28)</f>
        <v>1000000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A31"/>
  <sheetViews>
    <sheetView workbookViewId="0">
      <selection activeCell="A32" sqref="A32"/>
    </sheetView>
  </sheetViews>
  <sheetFormatPr defaultRowHeight="14.5" x14ac:dyDescent="0.35"/>
  <cols>
    <col min="1" max="1" width="13.6328125" customWidth="1"/>
  </cols>
  <sheetData>
    <row r="1" spans="1:53" x14ac:dyDescent="0.35">
      <c r="A1" t="s">
        <v>14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53" x14ac:dyDescent="0.35">
      <c r="A2" t="s">
        <v>18</v>
      </c>
      <c r="B2" t="s">
        <v>19</v>
      </c>
      <c r="C2" t="s">
        <v>28</v>
      </c>
      <c r="D2" t="s">
        <v>29</v>
      </c>
    </row>
    <row r="3" spans="1:53" x14ac:dyDescent="0.35">
      <c r="A3" t="s">
        <v>20</v>
      </c>
      <c r="B3" t="b">
        <v>1</v>
      </c>
      <c r="C3" t="b">
        <v>0</v>
      </c>
    </row>
    <row r="4" spans="1:53" x14ac:dyDescent="0.35">
      <c r="A4" t="s">
        <v>39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>
        <v>13</v>
      </c>
      <c r="O4">
        <v>14</v>
      </c>
      <c r="P4">
        <v>15</v>
      </c>
      <c r="Q4">
        <v>16</v>
      </c>
      <c r="R4">
        <v>17</v>
      </c>
      <c r="S4">
        <v>18</v>
      </c>
      <c r="T4">
        <v>19</v>
      </c>
      <c r="U4">
        <v>20</v>
      </c>
      <c r="V4">
        <v>21</v>
      </c>
      <c r="W4">
        <v>22</v>
      </c>
      <c r="X4">
        <v>23</v>
      </c>
      <c r="Y4">
        <v>24</v>
      </c>
      <c r="Z4">
        <v>25</v>
      </c>
      <c r="AA4">
        <v>26</v>
      </c>
      <c r="AB4">
        <v>27</v>
      </c>
      <c r="AC4">
        <v>28</v>
      </c>
      <c r="AD4">
        <v>29</v>
      </c>
      <c r="AE4">
        <v>30</v>
      </c>
      <c r="AF4">
        <v>31</v>
      </c>
      <c r="AG4">
        <v>32</v>
      </c>
      <c r="AH4">
        <v>33</v>
      </c>
      <c r="AI4">
        <v>34</v>
      </c>
      <c r="AJ4">
        <v>35</v>
      </c>
      <c r="AK4">
        <v>36</v>
      </c>
      <c r="AL4">
        <v>37</v>
      </c>
      <c r="AM4">
        <v>38</v>
      </c>
      <c r="AN4">
        <v>39</v>
      </c>
      <c r="AO4">
        <v>40</v>
      </c>
      <c r="AP4">
        <v>41</v>
      </c>
      <c r="AQ4">
        <v>42</v>
      </c>
      <c r="AR4">
        <v>43</v>
      </c>
      <c r="AS4">
        <v>44</v>
      </c>
      <c r="AT4">
        <v>45</v>
      </c>
      <c r="AU4">
        <v>46</v>
      </c>
      <c r="AV4">
        <v>47</v>
      </c>
      <c r="AW4">
        <v>48</v>
      </c>
      <c r="AX4">
        <v>49</v>
      </c>
      <c r="AY4">
        <v>50</v>
      </c>
      <c r="AZ4">
        <v>51</v>
      </c>
      <c r="BA4">
        <v>52</v>
      </c>
    </row>
    <row r="5" spans="1:53" x14ac:dyDescent="0.35">
      <c r="A5" t="s">
        <v>40</v>
      </c>
      <c r="B5">
        <f>COUNT(C5:XFD5)</f>
        <v>0</v>
      </c>
    </row>
    <row r="6" spans="1:53" x14ac:dyDescent="0.35">
      <c r="A6" t="s">
        <v>41</v>
      </c>
      <c r="B6">
        <f>COUNT(C6:XFD6)</f>
        <v>0</v>
      </c>
    </row>
    <row r="21" spans="1:2" x14ac:dyDescent="0.35">
      <c r="A21" t="e">
        <f>LEFT(A20,LEN(A20)-10)</f>
        <v>#VALUE!</v>
      </c>
    </row>
    <row r="22" spans="1:2" x14ac:dyDescent="0.35">
      <c r="A22" t="e">
        <f>CONCATENATE(A21,"inflows.csv")</f>
        <v>#VALUE!</v>
      </c>
    </row>
    <row r="23" spans="1:2" x14ac:dyDescent="0.35">
      <c r="A23" t="e">
        <f>FIND("data_files",A20)</f>
        <v>#VALUE!</v>
      </c>
      <c r="B23" t="b">
        <f>ISERR(A23)</f>
        <v>1</v>
      </c>
    </row>
    <row r="24" spans="1:2" x14ac:dyDescent="0.35">
      <c r="A24" t="e">
        <f>SUBSTITUTE(A21,"\","")</f>
        <v>#VALUE!</v>
      </c>
    </row>
    <row r="25" spans="1:2" x14ac:dyDescent="0.35">
      <c r="A25" t="e">
        <f>LEN(A21)-LEN(A24)</f>
        <v>#VALUE!</v>
      </c>
      <c r="B25">
        <f>IF(B23,0,1)</f>
        <v>0</v>
      </c>
    </row>
    <row r="26" spans="1:2" x14ac:dyDescent="0.35">
      <c r="A26" t="e">
        <f>SUBSTITUTE(A21,"\","@",A25-B25)</f>
        <v>#VALUE!</v>
      </c>
    </row>
    <row r="27" spans="1:2" x14ac:dyDescent="0.35">
      <c r="A27" t="e">
        <f>FIND("@",A26)</f>
        <v>#VALUE!</v>
      </c>
    </row>
    <row r="28" spans="1:2" x14ac:dyDescent="0.35">
      <c r="A28" t="e">
        <f>LEFT(A26,A27-1)</f>
        <v>#VALUE!</v>
      </c>
    </row>
    <row r="29" spans="1:2" x14ac:dyDescent="0.35">
      <c r="A29" t="e">
        <f>SUBSTITUTE(A21,"\","@",A25-B25-1)</f>
        <v>#VALUE!</v>
      </c>
    </row>
    <row r="30" spans="1:2" x14ac:dyDescent="0.35">
      <c r="A30" t="e">
        <f>FIND("@",A29)+1</f>
        <v>#VALUE!</v>
      </c>
    </row>
    <row r="31" spans="1:2" x14ac:dyDescent="0.35">
      <c r="A31" t="e">
        <f>MID(A29,A30,LEN(A29)-A30)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JADE Settings</vt:lpstr>
      <vt:lpstr>Runfile</vt:lpstr>
      <vt:lpstr>Lists</vt:lpstr>
    </vt:vector>
  </TitlesOfParts>
  <Company>UOA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Downward</dc:creator>
  <cp:lastModifiedBy>Tony Downward</cp:lastModifiedBy>
  <cp:lastPrinted>2022-09-06T09:35:46Z</cp:lastPrinted>
  <dcterms:created xsi:type="dcterms:W3CDTF">2022-08-31T21:30:54Z</dcterms:created>
  <dcterms:modified xsi:type="dcterms:W3CDTF">2022-09-27T19:58:56Z</dcterms:modified>
</cp:coreProperties>
</file>